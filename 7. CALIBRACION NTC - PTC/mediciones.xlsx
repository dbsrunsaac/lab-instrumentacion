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mdows\UNSAAC\SEMESTRE X\LABORATORIO DE INSTRUMENTACION\lab-instrumentacion\7. CALIBRACION NTC - PTC\"/>
    </mc:Choice>
  </mc:AlternateContent>
  <xr:revisionPtr revIDLastSave="0" documentId="13_ncr:1_{2C1D7A5F-6922-444F-B2D0-9202F61178FD}" xr6:coauthVersionLast="47" xr6:coauthVersionMax="47" xr10:uidLastSave="{00000000-0000-0000-0000-000000000000}"/>
  <bookViews>
    <workbookView xWindow="-108" yWindow="348" windowWidth="23256" windowHeight="12720" xr2:uid="{AB4826B5-7769-4DA6-B8E3-44EA4D9375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D15" i="1"/>
  <c r="G7" i="1"/>
  <c r="G8" i="1"/>
  <c r="G9" i="1"/>
  <c r="G10" i="1"/>
  <c r="G11" i="1"/>
  <c r="G12" i="1"/>
  <c r="G13" i="1"/>
  <c r="G14" i="1"/>
  <c r="D7" i="1"/>
  <c r="D8" i="1"/>
  <c r="D9" i="1"/>
  <c r="D10" i="1"/>
  <c r="D11" i="1"/>
  <c r="D12" i="1"/>
  <c r="D13" i="1"/>
  <c r="D14" i="1"/>
  <c r="G3" i="1"/>
  <c r="G4" i="1"/>
  <c r="G5" i="1"/>
  <c r="G6" i="1"/>
  <c r="G2" i="1"/>
  <c r="D3" i="1"/>
  <c r="D4" i="1"/>
  <c r="D5" i="1"/>
  <c r="D6" i="1"/>
  <c r="D2" i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3" i="1"/>
</calcChain>
</file>

<file path=xl/sharedStrings.xml><?xml version="1.0" encoding="utf-8"?>
<sst xmlns="http://schemas.openxmlformats.org/spreadsheetml/2006/main" count="10" uniqueCount="10">
  <si>
    <t>PTC Vo</t>
  </si>
  <si>
    <t>RNTC</t>
  </si>
  <si>
    <t>RPTC</t>
  </si>
  <si>
    <t>T [C°]</t>
  </si>
  <si>
    <t>R1 [Kohm]</t>
  </si>
  <si>
    <t>R4 [Kohm]</t>
  </si>
  <si>
    <t>IR4 [mA]</t>
  </si>
  <si>
    <t>NTC Vo  [V]</t>
  </si>
  <si>
    <t>IR1 [mA]</t>
  </si>
  <si>
    <t>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</si>
</sst>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 - T</a:t>
            </a:r>
            <a:r>
              <a:rPr lang="en-US" baseline="0"/>
              <a:t> (NTC)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Vo - 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2741355700102705"/>
                  <c:y val="-3.635060631387557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Hoja1!$A$2:$A$15</c:f>
              <c:numCache>
                <c:formatCode>General</c:formatCode>
                <c:ptCount val="14"/>
                <c:pt idx="0">
                  <c:v>22</c:v>
                </c:pt>
                <c:pt idx="1">
                  <c:v>23.5</c:v>
                </c:pt>
                <c:pt idx="2">
                  <c:v>25</c:v>
                </c:pt>
                <c:pt idx="3">
                  <c:v>26.5</c:v>
                </c:pt>
                <c:pt idx="4">
                  <c:v>28</c:v>
                </c:pt>
                <c:pt idx="5">
                  <c:v>29.5</c:v>
                </c:pt>
                <c:pt idx="6">
                  <c:v>31</c:v>
                </c:pt>
                <c:pt idx="7">
                  <c:v>32.5</c:v>
                </c:pt>
                <c:pt idx="8">
                  <c:v>34</c:v>
                </c:pt>
                <c:pt idx="9">
                  <c:v>35.5</c:v>
                </c:pt>
                <c:pt idx="10">
                  <c:v>37</c:v>
                </c:pt>
                <c:pt idx="11">
                  <c:v>38.5</c:v>
                </c:pt>
                <c:pt idx="12">
                  <c:v>40</c:v>
                </c:pt>
                <c:pt idx="13">
                  <c:v>41.5</c:v>
                </c:pt>
              </c:numCache>
            </c:numRef>
          </c:xVal>
          <c:yVal>
            <c:numRef>
              <c:f>Hoja1!$B$2:$B$15</c:f>
              <c:numCache>
                <c:formatCode>General</c:formatCode>
                <c:ptCount val="14"/>
                <c:pt idx="0">
                  <c:v>3.677</c:v>
                </c:pt>
                <c:pt idx="1">
                  <c:v>3.4327999999999999</c:v>
                </c:pt>
                <c:pt idx="2">
                  <c:v>3.21</c:v>
                </c:pt>
                <c:pt idx="3">
                  <c:v>3.0167999999999999</c:v>
                </c:pt>
                <c:pt idx="4">
                  <c:v>2.83</c:v>
                </c:pt>
                <c:pt idx="5">
                  <c:v>2.6577999999999999</c:v>
                </c:pt>
                <c:pt idx="6">
                  <c:v>2.48</c:v>
                </c:pt>
                <c:pt idx="7">
                  <c:v>2.3363999999999998</c:v>
                </c:pt>
                <c:pt idx="8">
                  <c:v>2.1875</c:v>
                </c:pt>
                <c:pt idx="9">
                  <c:v>2.0548000000000002</c:v>
                </c:pt>
                <c:pt idx="10">
                  <c:v>1.9427000000000001</c:v>
                </c:pt>
                <c:pt idx="11">
                  <c:v>1.8220000000000001</c:v>
                </c:pt>
                <c:pt idx="12">
                  <c:v>1.7082999999999999</c:v>
                </c:pt>
                <c:pt idx="13">
                  <c:v>1.6065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F4-4A05-B6EC-95524759A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219919"/>
        <c:axId val="648227119"/>
      </c:scatterChart>
      <c:valAx>
        <c:axId val="64821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48227119"/>
        <c:crosses val="autoZero"/>
        <c:crossBetween val="midCat"/>
      </c:valAx>
      <c:valAx>
        <c:axId val="64822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4821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Vo - T (PT100)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Hoja1!$A$2:$A$15</c:f>
              <c:numCache>
                <c:formatCode>General</c:formatCode>
                <c:ptCount val="14"/>
                <c:pt idx="0">
                  <c:v>22</c:v>
                </c:pt>
                <c:pt idx="1">
                  <c:v>23.5</c:v>
                </c:pt>
                <c:pt idx="2">
                  <c:v>25</c:v>
                </c:pt>
                <c:pt idx="3">
                  <c:v>26.5</c:v>
                </c:pt>
                <c:pt idx="4">
                  <c:v>28</c:v>
                </c:pt>
                <c:pt idx="5">
                  <c:v>29.5</c:v>
                </c:pt>
                <c:pt idx="6">
                  <c:v>31</c:v>
                </c:pt>
                <c:pt idx="7">
                  <c:v>32.5</c:v>
                </c:pt>
                <c:pt idx="8">
                  <c:v>34</c:v>
                </c:pt>
                <c:pt idx="9">
                  <c:v>35.5</c:v>
                </c:pt>
                <c:pt idx="10">
                  <c:v>37</c:v>
                </c:pt>
                <c:pt idx="11">
                  <c:v>38.5</c:v>
                </c:pt>
                <c:pt idx="12">
                  <c:v>40</c:v>
                </c:pt>
                <c:pt idx="13">
                  <c:v>41.5</c:v>
                </c:pt>
              </c:numCache>
            </c:numRef>
          </c:xVal>
          <c:yVal>
            <c:numRef>
              <c:f>Hoja1!$E$2:$E$15</c:f>
              <c:numCache>
                <c:formatCode>General</c:formatCode>
                <c:ptCount val="14"/>
                <c:pt idx="0">
                  <c:v>0.54630000000000001</c:v>
                </c:pt>
                <c:pt idx="1">
                  <c:v>0.54769999999999996</c:v>
                </c:pt>
                <c:pt idx="2">
                  <c:v>0.54979999999999996</c:v>
                </c:pt>
                <c:pt idx="3">
                  <c:v>0.55200000000000005</c:v>
                </c:pt>
                <c:pt idx="4">
                  <c:v>0.5544</c:v>
                </c:pt>
                <c:pt idx="5">
                  <c:v>0.55659999999999998</c:v>
                </c:pt>
                <c:pt idx="6">
                  <c:v>0.55830000000000002</c:v>
                </c:pt>
                <c:pt idx="7">
                  <c:v>0.5605</c:v>
                </c:pt>
                <c:pt idx="8">
                  <c:v>0.56259999999999999</c:v>
                </c:pt>
                <c:pt idx="9">
                  <c:v>0.56479999999999997</c:v>
                </c:pt>
                <c:pt idx="10">
                  <c:v>0.56679999999999997</c:v>
                </c:pt>
                <c:pt idx="11">
                  <c:v>0.56899999999999995</c:v>
                </c:pt>
                <c:pt idx="12">
                  <c:v>0.57150000000000001</c:v>
                </c:pt>
                <c:pt idx="13">
                  <c:v>0.57399999999999995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BB-4BA4-AD25-06724CB4D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162143"/>
        <c:axId val="792178463"/>
      </c:scatterChart>
      <c:valAx>
        <c:axId val="79216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92178463"/>
        <c:crosses val="autoZero"/>
        <c:crossBetween val="midCat"/>
      </c:valAx>
      <c:valAx>
        <c:axId val="79217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92162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 - T (NTC)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Hoja1!$A$2:$A$15</c:f>
              <c:numCache>
                <c:formatCode>General</c:formatCode>
                <c:ptCount val="14"/>
                <c:pt idx="0">
                  <c:v>22</c:v>
                </c:pt>
                <c:pt idx="1">
                  <c:v>23.5</c:v>
                </c:pt>
                <c:pt idx="2">
                  <c:v>25</c:v>
                </c:pt>
                <c:pt idx="3">
                  <c:v>26.5</c:v>
                </c:pt>
                <c:pt idx="4">
                  <c:v>28</c:v>
                </c:pt>
                <c:pt idx="5">
                  <c:v>29.5</c:v>
                </c:pt>
                <c:pt idx="6">
                  <c:v>31</c:v>
                </c:pt>
                <c:pt idx="7">
                  <c:v>32.5</c:v>
                </c:pt>
                <c:pt idx="8">
                  <c:v>34</c:v>
                </c:pt>
                <c:pt idx="9">
                  <c:v>35.5</c:v>
                </c:pt>
                <c:pt idx="10">
                  <c:v>37</c:v>
                </c:pt>
                <c:pt idx="11">
                  <c:v>38.5</c:v>
                </c:pt>
                <c:pt idx="12">
                  <c:v>40</c:v>
                </c:pt>
                <c:pt idx="13">
                  <c:v>41.5</c:v>
                </c:pt>
              </c:numCache>
            </c:numRef>
          </c:xVal>
          <c:yVal>
            <c:numRef>
              <c:f>Hoja1!$D$2:$D$15</c:f>
              <c:numCache>
                <c:formatCode>General</c:formatCode>
                <c:ptCount val="14"/>
                <c:pt idx="0">
                  <c:v>10079.131451612902</c:v>
                </c:pt>
                <c:pt idx="1">
                  <c:v>9409.7477419354836</c:v>
                </c:pt>
                <c:pt idx="2">
                  <c:v>8799.0241935483882</c:v>
                </c:pt>
                <c:pt idx="3">
                  <c:v>8269.4380645161291</c:v>
                </c:pt>
                <c:pt idx="4">
                  <c:v>7757.3951612903229</c:v>
                </c:pt>
                <c:pt idx="5">
                  <c:v>7285.3727419354836</c:v>
                </c:pt>
                <c:pt idx="6">
                  <c:v>6798</c:v>
                </c:pt>
                <c:pt idx="7">
                  <c:v>6404.3738709677409</c:v>
                </c:pt>
                <c:pt idx="8">
                  <c:v>5996.2197580645161</c:v>
                </c:pt>
                <c:pt idx="9">
                  <c:v>5632.4719354838717</c:v>
                </c:pt>
                <c:pt idx="10">
                  <c:v>5325.1913709677419</c:v>
                </c:pt>
                <c:pt idx="11">
                  <c:v>4994.3370967741939</c:v>
                </c:pt>
                <c:pt idx="12">
                  <c:v>4682.6707258064516</c:v>
                </c:pt>
                <c:pt idx="13">
                  <c:v>4403.623790322581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24-4396-AEBC-3B57F3BB0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903983"/>
        <c:axId val="804919343"/>
      </c:scatterChart>
      <c:valAx>
        <c:axId val="804903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4919343"/>
        <c:crosses val="autoZero"/>
        <c:crossBetween val="midCat"/>
      </c:valAx>
      <c:valAx>
        <c:axId val="80491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49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 - T (PT100)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Hoja1!$A$2:$A$15</c:f>
              <c:numCache>
                <c:formatCode>General</c:formatCode>
                <c:ptCount val="14"/>
                <c:pt idx="0">
                  <c:v>22</c:v>
                </c:pt>
                <c:pt idx="1">
                  <c:v>23.5</c:v>
                </c:pt>
                <c:pt idx="2">
                  <c:v>25</c:v>
                </c:pt>
                <c:pt idx="3">
                  <c:v>26.5</c:v>
                </c:pt>
                <c:pt idx="4">
                  <c:v>28</c:v>
                </c:pt>
                <c:pt idx="5">
                  <c:v>29.5</c:v>
                </c:pt>
                <c:pt idx="6">
                  <c:v>31</c:v>
                </c:pt>
                <c:pt idx="7">
                  <c:v>32.5</c:v>
                </c:pt>
                <c:pt idx="8">
                  <c:v>34</c:v>
                </c:pt>
                <c:pt idx="9">
                  <c:v>35.5</c:v>
                </c:pt>
                <c:pt idx="10">
                  <c:v>37</c:v>
                </c:pt>
                <c:pt idx="11">
                  <c:v>38.5</c:v>
                </c:pt>
                <c:pt idx="12">
                  <c:v>40</c:v>
                </c:pt>
                <c:pt idx="13">
                  <c:v>41.5</c:v>
                </c:pt>
              </c:numCache>
            </c:numRef>
          </c:xVal>
          <c:yVal>
            <c:numRef>
              <c:f>Hoja1!$G$2:$G$15</c:f>
              <c:numCache>
                <c:formatCode>General</c:formatCode>
                <c:ptCount val="14"/>
                <c:pt idx="0">
                  <c:v>109.31507056451613</c:v>
                </c:pt>
                <c:pt idx="1">
                  <c:v>109.59521169354839</c:v>
                </c:pt>
                <c:pt idx="2">
                  <c:v>110.01542338709679</c:v>
                </c:pt>
                <c:pt idx="3">
                  <c:v>110.45564516129035</c:v>
                </c:pt>
                <c:pt idx="4">
                  <c:v>110.93588709677418</c:v>
                </c:pt>
                <c:pt idx="5">
                  <c:v>111.37610887096776</c:v>
                </c:pt>
                <c:pt idx="6">
                  <c:v>111.71628024193548</c:v>
                </c:pt>
                <c:pt idx="7">
                  <c:v>112.15650201612905</c:v>
                </c:pt>
                <c:pt idx="8">
                  <c:v>112.57671370967743</c:v>
                </c:pt>
                <c:pt idx="9">
                  <c:v>113.01693548387097</c:v>
                </c:pt>
                <c:pt idx="10">
                  <c:v>113.41713709677418</c:v>
                </c:pt>
                <c:pt idx="11">
                  <c:v>113.85735887096773</c:v>
                </c:pt>
                <c:pt idx="12">
                  <c:v>114.3576108870968</c:v>
                </c:pt>
                <c:pt idx="13">
                  <c:v>114.85786290322579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41-4119-AA2E-F239293AB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902543"/>
        <c:axId val="804916943"/>
      </c:scatterChart>
      <c:valAx>
        <c:axId val="80490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4916943"/>
        <c:crosses val="autoZero"/>
        <c:crossBetween val="midCat"/>
      </c:valAx>
      <c:valAx>
        <c:axId val="80491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4902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220980</xdr:colOff>
      <xdr:row>2</xdr:row>
      <xdr:rowOff>38100</xdr:rowOff>
    </xdr:from>
    <xdr:to>
      <xdr:col>12</xdr:col>
      <xdr:colOff>464820</xdr:colOff>
      <xdr:row>17</xdr:row>
      <xdr:rowOff>22860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731D24-4428-B094-A64E-46FDD5E4B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594360</xdr:colOff>
      <xdr:row>2</xdr:row>
      <xdr:rowOff>15240</xdr:rowOff>
    </xdr:from>
    <xdr:to>
      <xdr:col>18</xdr:col>
      <xdr:colOff>411480</xdr:colOff>
      <xdr:row>17</xdr:row>
      <xdr:rowOff>15240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E06B7DF-7EE7-0EAD-E7B8-2EA776AD8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220980</xdr:colOff>
      <xdr:row>17</xdr:row>
      <xdr:rowOff>137160</xdr:rowOff>
    </xdr:from>
    <xdr:to>
      <xdr:col>12</xdr:col>
      <xdr:colOff>449580</xdr:colOff>
      <xdr:row>31</xdr:row>
      <xdr:rowOff>68580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5CEE962-55ED-7504-1BC2-E36D4CBC5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571500</xdr:colOff>
      <xdr:row>17</xdr:row>
      <xdr:rowOff>129540</xdr:rowOff>
    </xdr:from>
    <xdr:to>
      <xdr:col>18</xdr:col>
      <xdr:colOff>388620</xdr:colOff>
      <xdr:row>32</xdr:row>
      <xdr:rowOff>129540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8C2DA7C-5162-58BC-B9EA-DC649F51B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7930-0F9A-4398-90A1-E2D86F0E61E7}">
  <dimension ref="A1:M15"/>
  <sheetViews>
    <sheetView tabSelected="1" workbookViewId="0">
      <selection activeCell="D11" sqref="D11"/>
    </sheetView>
  </sheetViews>
  <sheetFormatPr baseColWidth="10" defaultRowHeight="14.4" x14ac:dyDescent="0.3"/>
  <sheetData>
    <row r="1" spans="1:13" x14ac:dyDescent="0.3">
      <c r="A1" s="2" t="s">
        <v>3</v>
      </c>
      <c r="B1" s="2" t="s">
        <v>7</v>
      </c>
      <c r="C1" s="2" t="s">
        <v>8</v>
      </c>
      <c r="D1" s="2" t="s">
        <v>1</v>
      </c>
      <c r="E1" s="2" t="s">
        <v>0</v>
      </c>
      <c r="F1" s="2" t="s">
        <v>6</v>
      </c>
      <c r="G1" s="2" t="s">
        <v>2</v>
      </c>
      <c r="I1" s="1" t="s">
        <v>4</v>
      </c>
      <c r="J1">
        <v>13.596</v>
      </c>
      <c r="L1" s="1" t="s">
        <v>9</v>
      </c>
      <c r="M1" s="1">
        <v>4.96</v>
      </c>
    </row>
    <row r="2" spans="1:13" x14ac:dyDescent="0.3">
      <c r="A2" s="3">
        <v>22</v>
      </c>
      <c r="B2" s="3">
        <v>3.677</v>
      </c>
      <c r="C2" s="3">
        <v>0.01</v>
      </c>
      <c r="D2" s="3">
        <f>B2*$J$1*1000/$M$1</f>
        <v>10079.131451612902</v>
      </c>
      <c r="E2" s="3">
        <v>0.54630000000000001</v>
      </c>
      <c r="F2" s="3">
        <v>5</v>
      </c>
      <c r="G2" s="3">
        <f>E2*$J$2*1000/$M$1</f>
        <v>109.31507056451613</v>
      </c>
      <c r="I2" s="1" t="s">
        <v>5</v>
      </c>
      <c r="J2">
        <v>0.99250000000000005</v>
      </c>
    </row>
    <row r="3" spans="1:13" x14ac:dyDescent="0.3">
      <c r="A3" s="3">
        <f>A2+1.5</f>
        <v>23.5</v>
      </c>
      <c r="B3" s="3">
        <v>3.4327999999999999</v>
      </c>
      <c r="C3" s="3">
        <v>0.01</v>
      </c>
      <c r="D3" s="3">
        <f t="shared" ref="D3:D15" si="0">B3*$J$1*1000/$M$1</f>
        <v>9409.7477419354836</v>
      </c>
      <c r="E3" s="3">
        <v>0.54769999999999996</v>
      </c>
      <c r="F3" s="3">
        <v>5.04</v>
      </c>
      <c r="G3" s="3">
        <f t="shared" ref="G3:G15" si="1">E3*$J$2*1000/$M$1</f>
        <v>109.59521169354839</v>
      </c>
    </row>
    <row r="4" spans="1:13" x14ac:dyDescent="0.3">
      <c r="A4" s="3">
        <f t="shared" ref="A4:A24" si="2">A3+1.5</f>
        <v>25</v>
      </c>
      <c r="B4" s="3">
        <v>3.21</v>
      </c>
      <c r="C4" s="3">
        <v>0.01</v>
      </c>
      <c r="D4" s="3">
        <f t="shared" si="0"/>
        <v>8799.0241935483882</v>
      </c>
      <c r="E4" s="3">
        <v>0.54979999999999996</v>
      </c>
      <c r="F4" s="3">
        <v>5.0199999999999996</v>
      </c>
      <c r="G4" s="3">
        <f t="shared" si="1"/>
        <v>110.01542338709679</v>
      </c>
    </row>
    <row r="5" spans="1:13" x14ac:dyDescent="0.3">
      <c r="A5" s="3">
        <f t="shared" si="2"/>
        <v>26.5</v>
      </c>
      <c r="B5" s="3">
        <v>3.0167999999999999</v>
      </c>
      <c r="C5" s="3">
        <v>0.01</v>
      </c>
      <c r="D5" s="3">
        <f t="shared" si="0"/>
        <v>8269.4380645161291</v>
      </c>
      <c r="E5" s="3">
        <v>0.55200000000000005</v>
      </c>
      <c r="F5" s="3">
        <v>5.01</v>
      </c>
      <c r="G5" s="3">
        <f t="shared" si="1"/>
        <v>110.45564516129035</v>
      </c>
    </row>
    <row r="6" spans="1:13" x14ac:dyDescent="0.3">
      <c r="A6" s="3">
        <f t="shared" si="2"/>
        <v>28</v>
      </c>
      <c r="B6" s="3">
        <v>2.83</v>
      </c>
      <c r="C6" s="3">
        <v>0.01</v>
      </c>
      <c r="D6" s="3">
        <f t="shared" si="0"/>
        <v>7757.3951612903229</v>
      </c>
      <c r="E6" s="3">
        <v>0.5544</v>
      </c>
      <c r="F6" s="3">
        <v>5.01</v>
      </c>
      <c r="G6" s="3">
        <f t="shared" si="1"/>
        <v>110.93588709677418</v>
      </c>
    </row>
    <row r="7" spans="1:13" x14ac:dyDescent="0.3">
      <c r="A7" s="3">
        <f t="shared" si="2"/>
        <v>29.5</v>
      </c>
      <c r="B7" s="3">
        <v>2.6577999999999999</v>
      </c>
      <c r="C7" s="3">
        <v>0.01</v>
      </c>
      <c r="D7" s="3">
        <f t="shared" si="0"/>
        <v>7285.3727419354836</v>
      </c>
      <c r="E7" s="3">
        <v>0.55659999999999998</v>
      </c>
      <c r="F7" s="3">
        <v>5.01</v>
      </c>
      <c r="G7" s="3">
        <f t="shared" si="1"/>
        <v>111.37610887096776</v>
      </c>
    </row>
    <row r="8" spans="1:13" x14ac:dyDescent="0.3">
      <c r="A8" s="3">
        <f t="shared" si="2"/>
        <v>31</v>
      </c>
      <c r="B8" s="3">
        <v>2.48</v>
      </c>
      <c r="C8" s="3">
        <v>0.01</v>
      </c>
      <c r="D8" s="3">
        <f t="shared" si="0"/>
        <v>6798</v>
      </c>
      <c r="E8" s="3">
        <v>0.55830000000000002</v>
      </c>
      <c r="F8" s="3">
        <v>5.0199999999999996</v>
      </c>
      <c r="G8" s="3">
        <f t="shared" si="1"/>
        <v>111.71628024193548</v>
      </c>
    </row>
    <row r="9" spans="1:13" x14ac:dyDescent="0.3">
      <c r="A9" s="3">
        <f t="shared" si="2"/>
        <v>32.5</v>
      </c>
      <c r="B9" s="3">
        <v>2.3363999999999998</v>
      </c>
      <c r="C9" s="3">
        <v>0.01</v>
      </c>
      <c r="D9" s="3">
        <f t="shared" si="0"/>
        <v>6404.3738709677409</v>
      </c>
      <c r="E9" s="3">
        <v>0.5605</v>
      </c>
      <c r="F9" s="3">
        <v>5.0060000000000002</v>
      </c>
      <c r="G9" s="3">
        <f t="shared" si="1"/>
        <v>112.15650201612905</v>
      </c>
    </row>
    <row r="10" spans="1:13" x14ac:dyDescent="0.3">
      <c r="A10" s="3">
        <f t="shared" si="2"/>
        <v>34</v>
      </c>
      <c r="B10" s="3">
        <v>2.1875</v>
      </c>
      <c r="C10" s="3">
        <v>0.01</v>
      </c>
      <c r="D10" s="3">
        <f t="shared" si="0"/>
        <v>5996.2197580645161</v>
      </c>
      <c r="E10" s="3">
        <v>0.56259999999999999</v>
      </c>
      <c r="F10" s="3">
        <v>5.0039999999999996</v>
      </c>
      <c r="G10" s="3">
        <f t="shared" si="1"/>
        <v>112.57671370967743</v>
      </c>
    </row>
    <row r="11" spans="1:13" x14ac:dyDescent="0.3">
      <c r="A11" s="3">
        <f t="shared" si="2"/>
        <v>35.5</v>
      </c>
      <c r="B11" s="3">
        <v>2.0548000000000002</v>
      </c>
      <c r="C11" s="3">
        <v>0.01</v>
      </c>
      <c r="D11" s="3">
        <f t="shared" si="0"/>
        <v>5632.4719354838717</v>
      </c>
      <c r="E11" s="3">
        <v>0.56479999999999997</v>
      </c>
      <c r="F11" s="3">
        <v>5.0069999999999997</v>
      </c>
      <c r="G11" s="3">
        <f t="shared" si="1"/>
        <v>113.01693548387097</v>
      </c>
    </row>
    <row r="12" spans="1:13" x14ac:dyDescent="0.3">
      <c r="A12" s="3">
        <f t="shared" si="2"/>
        <v>37</v>
      </c>
      <c r="B12" s="3">
        <v>1.9427000000000001</v>
      </c>
      <c r="C12" s="3">
        <v>0.01</v>
      </c>
      <c r="D12" s="3">
        <f t="shared" si="0"/>
        <v>5325.1913709677419</v>
      </c>
      <c r="E12" s="3">
        <v>0.56679999999999997</v>
      </c>
      <c r="F12" s="3">
        <v>5.0069999999999997</v>
      </c>
      <c r="G12" s="3">
        <f t="shared" si="1"/>
        <v>113.41713709677418</v>
      </c>
    </row>
    <row r="13" spans="1:13" x14ac:dyDescent="0.3">
      <c r="A13" s="3">
        <f t="shared" si="2"/>
        <v>38.5</v>
      </c>
      <c r="B13" s="3">
        <v>1.8220000000000001</v>
      </c>
      <c r="C13" s="3">
        <v>0.01</v>
      </c>
      <c r="D13" s="3">
        <f t="shared" si="0"/>
        <v>4994.3370967741939</v>
      </c>
      <c r="E13" s="3">
        <v>0.56899999999999995</v>
      </c>
      <c r="F13" s="3">
        <v>5.0069999999999997</v>
      </c>
      <c r="G13" s="3">
        <f t="shared" si="1"/>
        <v>113.85735887096773</v>
      </c>
    </row>
    <row r="14" spans="1:13" x14ac:dyDescent="0.3">
      <c r="A14" s="3">
        <f t="shared" si="2"/>
        <v>40</v>
      </c>
      <c r="B14" s="3">
        <v>1.7082999999999999</v>
      </c>
      <c r="C14" s="3">
        <v>0.01</v>
      </c>
      <c r="D14" s="3">
        <f t="shared" si="0"/>
        <v>4682.6707258064516</v>
      </c>
      <c r="E14" s="3">
        <v>0.57150000000000001</v>
      </c>
      <c r="F14" s="3">
        <v>5.0069999999999997</v>
      </c>
      <c r="G14" s="3">
        <f t="shared" si="1"/>
        <v>114.3576108870968</v>
      </c>
    </row>
    <row r="15" spans="1:13" x14ac:dyDescent="0.3">
      <c r="A15" s="3">
        <v>41.5</v>
      </c>
      <c r="B15" s="3">
        <v>1.6065</v>
      </c>
      <c r="C15" s="3">
        <v>0.01</v>
      </c>
      <c r="D15" s="3">
        <f t="shared" si="0"/>
        <v>4403.623790322581</v>
      </c>
      <c r="E15" s="3">
        <v>0.57399999999999995</v>
      </c>
      <c r="F15" s="3">
        <v>5.008</v>
      </c>
      <c r="G15" s="3">
        <f t="shared" si="1"/>
        <v>114.85786290322579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Bremdows</dc:creator>
  <cp:lastModifiedBy>Bremdows</cp:lastModifiedBy>
  <dcterms:created xsi:type="dcterms:W3CDTF">2025-12-23T18:32:11Z</dcterms:created>
  <dcterms:modified xsi:type="dcterms:W3CDTF">2025-12-23T23:27:53Z</dcterms:modified>
</cp:coreProperties>
</file>