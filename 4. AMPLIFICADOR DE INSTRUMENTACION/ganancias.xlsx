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INSTRUMENTACION\lab-instrumentacion\4. AMPLIFICADOR DE INSTRUMENTACION\"/>
    </mc:Choice>
  </mc:AlternateContent>
  <xr:revisionPtr revIDLastSave="0" documentId="8_{2E9D5A56-AD82-4995-B858-8D08F1347236}" xr6:coauthVersionLast="47" xr6:coauthVersionMax="47" xr10:uidLastSave="{00000000-0000-0000-0000-000000000000}"/>
  <bookViews>
    <workbookView xWindow="-108" yWindow="348" windowWidth="23256" windowHeight="12720" activeTab="1" xr2:uid="{68CC4C82-21C7-41B2-8DC8-8B2A048FE5EE}"/>
  </bookViews>
  <sheets>
    <sheet name="DC" sheetId="1" r:id="rId1"/>
    <sheet name="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1" i="2"/>
  <c r="B5" i="2"/>
  <c r="B4" i="1"/>
  <c r="B6" i="2" l="1"/>
  <c r="B7" i="2" s="1"/>
</calcChain>
</file>

<file path=xl/sharedStrings.xml><?xml version="1.0" encoding="utf-8"?>
<sst xmlns="http://schemas.openxmlformats.org/spreadsheetml/2006/main" count="17" uniqueCount="16">
  <si>
    <t>Vin</t>
  </si>
  <si>
    <t>V1</t>
  </si>
  <si>
    <t>V2</t>
  </si>
  <si>
    <t>Donde</t>
  </si>
  <si>
    <t>Voltaje en el brazo Izquierdo</t>
  </si>
  <si>
    <t xml:space="preserve">V2 </t>
  </si>
  <si>
    <t>Voltaje en el brazo Derecho</t>
  </si>
  <si>
    <t>Vc</t>
  </si>
  <si>
    <t>Vd</t>
  </si>
  <si>
    <t>Vin [Vp]</t>
  </si>
  <si>
    <t>Vc [Vp]</t>
  </si>
  <si>
    <t>Ac</t>
  </si>
  <si>
    <t>Ad</t>
  </si>
  <si>
    <t xml:space="preserve">Va </t>
  </si>
  <si>
    <t>CMRR</t>
  </si>
  <si>
    <t>CMRR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</si>
</sst>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E3C4-FE22-45E6-8F30-4B970D8FCD1F}">
  <dimension ref="A1:I5"/>
  <sheetViews>
    <sheetView workbookViewId="0">
      <selection activeCell="B6" sqref="B6"/>
    </sheetView>
  </sheetViews>
  <sheetFormatPr baseColWidth="10" defaultRowHeight="14.4" x14ac:dyDescent="0.3"/>
  <sheetData>
    <row r="1" spans="1:9" x14ac:dyDescent="0.3">
      <c r="A1" t="s">
        <v>0</v>
      </c>
      <c r="B1">
        <v>5.0008999999999997</v>
      </c>
      <c r="H1" t="s">
        <v>3</v>
      </c>
    </row>
    <row r="2" spans="1:9" x14ac:dyDescent="0.3">
      <c r="A2" t="s">
        <v>1</v>
      </c>
      <c r="B2">
        <v>2.4975999999999998</v>
      </c>
      <c r="H2" t="s">
        <v>1</v>
      </c>
      <c r="I2" t="s">
        <v>4</v>
      </c>
    </row>
    <row r="3" spans="1:9" x14ac:dyDescent="0.3">
      <c r="A3" t="s">
        <v>2</v>
      </c>
      <c r="B3">
        <v>2.5049999999999999</v>
      </c>
      <c r="H3" t="s">
        <v>5</v>
      </c>
      <c r="I3" t="s">
        <v>6</v>
      </c>
    </row>
    <row r="4" spans="1:9" x14ac:dyDescent="0.3">
      <c r="A4" t="s">
        <v>7</v>
      </c>
      <c r="B4">
        <f>AVERAGE(B2:B3)</f>
        <v>2.5012999999999996</v>
      </c>
    </row>
    <row r="5" spans="1:9" x14ac:dyDescent="0.3">
      <c r="A5" t="s">
        <v>8</v>
      </c>
      <c r="B5">
        <v>6.352E-3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EAB8-D8DF-4E60-AF3E-FE73389B7D51}">
  <dimension ref="A1:B7"/>
  <sheetViews>
    <sheetView tabSelected="1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9</v>
      </c>
      <c r="B1">
        <f>260/1000</f>
        <v>0.26</v>
      </c>
    </row>
    <row r="2" spans="1:2" x14ac:dyDescent="0.3">
      <c r="A2" t="s">
        <v>10</v>
      </c>
      <c r="B2">
        <f>26/1000</f>
        <v>2.5999999999999999E-2</v>
      </c>
    </row>
    <row r="3" spans="1:2" x14ac:dyDescent="0.3">
      <c r="A3" t="s">
        <v>11</v>
      </c>
      <c r="B3">
        <f>B2/B1</f>
        <v>9.9999999999999992E-2</v>
      </c>
    </row>
    <row r="4" spans="1:2" x14ac:dyDescent="0.3">
      <c r="A4" t="s">
        <v>13</v>
      </c>
      <c r="B4">
        <v>0.32</v>
      </c>
    </row>
    <row r="5" spans="1:2" x14ac:dyDescent="0.3">
      <c r="A5" t="s">
        <v>12</v>
      </c>
      <c r="B5">
        <f>B4/B1</f>
        <v>1.2307692307692308</v>
      </c>
    </row>
    <row r="6" spans="1:2" x14ac:dyDescent="0.3">
      <c r="A6" t="s">
        <v>14</v>
      </c>
      <c r="B6">
        <f>B5/B3</f>
        <v>12.30769230769231</v>
      </c>
    </row>
    <row r="7" spans="1:2" x14ac:dyDescent="0.3">
      <c r="A7" t="s">
        <v>15</v>
      </c>
      <c r="B7">
        <f>20*LOG10(B6)</f>
        <v>21.803532606981761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DC</vt:lpstr>
      <vt:lpstr>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2025-09-16T19:32:33Z</dcterms:created>
  <dcterms:modified xsi:type="dcterms:W3CDTF">2025-09-16T22:24:05Z</dcterms:modified>
</cp:coreProperties>
</file>